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xr:revisionPtr revIDLastSave="0" documentId="13_ncr:1_{FF2C05AA-4DF7-4110-9501-9271480A52D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NTpr+guxoqlOKfG+TiLfpEDaEvUEuMLej7q+ZEqyTWs="/>
    </ext>
  </extLst>
</workbook>
</file>

<file path=xl/calcChain.xml><?xml version="1.0" encoding="utf-8"?>
<calcChain xmlns="http://schemas.openxmlformats.org/spreadsheetml/2006/main">
  <c r="S15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2" i="2"/>
  <c r="G2" i="2"/>
  <c r="S1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P8" i="2"/>
  <c r="P7" i="2"/>
  <c r="P4" i="2"/>
  <c r="P3" i="2"/>
  <c r="P2" i="2"/>
</calcChain>
</file>

<file path=xl/sharedStrings.xml><?xml version="1.0" encoding="utf-8"?>
<sst xmlns="http://schemas.openxmlformats.org/spreadsheetml/2006/main" count="179" uniqueCount="114">
  <si>
    <t>Perform the following in the dataset from the 'Dataset' sheet.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</si>
  <si>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</si>
  <si>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</si>
  <si>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</si>
  <si>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</si>
  <si>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</si>
  <si>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</si>
  <si>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</si>
  <si>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</si>
  <si>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</si>
  <si>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1) Sum, Count, Average:</t>
  </si>
  <si>
    <t>Electronics</t>
  </si>
  <si>
    <t>15-FEB-US</t>
  </si>
  <si>
    <t>Sneakers</t>
  </si>
  <si>
    <t>Nike</t>
  </si>
  <si>
    <t>Fashion</t>
  </si>
  <si>
    <t>• What is the total price of all products in the dataset?</t>
  </si>
  <si>
    <t>03-MAR-US</t>
  </si>
  <si>
    <t>Coffee Maker</t>
  </si>
  <si>
    <t>Keurig</t>
  </si>
  <si>
    <t>Kitchen</t>
  </si>
  <si>
    <t>11-APR-US</t>
  </si>
  <si>
    <t>Smartphone</t>
  </si>
  <si>
    <t>Samsung</t>
  </si>
  <si>
    <t>• How many products are there in the dataset?</t>
  </si>
  <si>
    <t>22-MAY-US</t>
  </si>
  <si>
    <t>Backpack</t>
  </si>
  <si>
    <t>North Face</t>
  </si>
  <si>
    <t>Outdoor</t>
  </si>
  <si>
    <t>• Calculate the average price of the products.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</si>
  <si>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</si>
  <si>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</si>
  <si>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</si>
  <si>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</si>
  <si>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</si>
  <si>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</si>
  <si>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</si>
  <si>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</si>
  <si>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2) Min and Max: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</si>
  <si>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</si>
  <si>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</si>
  <si>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</si>
  <si>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</si>
  <si>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</si>
  <si>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</si>
  <si>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</si>
  <si>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</si>
  <si>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</si>
  <si>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• Determine the minimum price among all products.</t>
  </si>
  <si>
    <t>25-NOV-AU</t>
  </si>
  <si>
    <t>08-DEC-DE</t>
  </si>
  <si>
    <t>Nespresso</t>
  </si>
  <si>
    <t>18-FEB-CA</t>
  </si>
  <si>
    <t>Smartwatch</t>
  </si>
  <si>
    <t>Fitbit</t>
  </si>
  <si>
    <t>• Find the maximum price among all products.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</si>
  <si>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</si>
  <si>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</si>
  <si>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</si>
  <si>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</si>
  <si>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</si>
  <si>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</si>
  <si>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</si>
  <si>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</si>
  <si>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</si>
  <si>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</si>
  <si>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</si>
  <si>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</si>
  <si>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</si>
  <si>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</si>
  <si>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</si>
  <si>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</si>
  <si>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</si>
  <si>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</si>
  <si>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</si>
  <si>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3) IF Function: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</si>
  <si>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</si>
  <si>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</si>
  <si>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</si>
  <si>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</si>
  <si>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</si>
  <si>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</si>
  <si>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</si>
  <si>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• Using an IF function, create a new column named Price Range to categorize products with a price greater than or equal to $500 as 'High Price' and others as 'Standard Price'.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</si>
  <si>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</si>
  <si>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</si>
  <si>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</si>
  <si>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</si>
  <si>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</si>
  <si>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</si>
  <si>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</si>
  <si>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</si>
  <si>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</si>
  <si>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</si>
  <si>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</si>
  <si>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</si>
  <si>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</si>
  <si>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4) SUMIF and COUNTIF:</t>
  </si>
  <si>
    <t>02-DEC-CA</t>
  </si>
  <si>
    <t>Jeans</t>
  </si>
  <si>
    <t>Levi's</t>
  </si>
  <si>
    <t>09-JUL-FR</t>
  </si>
  <si>
    <t>Watch</t>
  </si>
  <si>
    <t>Casio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</si>
  <si>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</si>
  <si>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</si>
  <si>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</si>
  <si>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</si>
  <si>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</si>
  <si>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</si>
  <si>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price range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</si>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</sst>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rgb="FF000000"/>
      <name val="Arial"/>
      <family val="2"/>
      <scheme val="minor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/>
    <xf numFmtId="0" fontId="2" fillId="3" borderId="0" xfId="0" applyFont="1" applyFill="1" applyAlignment="1"/>
    <xf numFmtId="0" fontId="2" fillId="3" borderId="0" xfId="0" applyFont="1" applyFill="1" applyAlignment="1">
      <alignment horizontal="right"/>
    </xf>
    <xf numFmtId="0" fontId="5" fillId="0" borderId="0" xfId="0" applyFont="1" applyAlignment="1"/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opLeftCell="E1" workbookViewId="0">
      <selection activeCell="B3" sqref="B3:N25"/>
    </sheetView>
  </sheetViews>
  <sheetFormatPr defaultColWidth="12.6640625" defaultRowHeight="15" customHeight="1" x14ac:dyDescent="0.25"/>
  <cols>
    <col min="1" max="6" width="12.66406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/>
      <c r="B3" s="5" t="s">
        <v>10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2"/>
      <c r="C4" s="8" t="s">
        <v>16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2"/>
      <c r="C5" s="8" t="s">
        <v>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2"/>
      <c r="C6" s="8" t="s">
        <v>29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2"/>
      <c r="B8" s="5" t="s">
        <v>38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2"/>
      <c r="B9" s="2"/>
      <c r="C9" s="8" t="s">
        <v>48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2"/>
      <c r="B10" s="2"/>
      <c r="C10" s="8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2"/>
      <c r="B12" s="5" t="s">
        <v>75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2"/>
      <c r="B13" s="2"/>
      <c r="C13" s="8" t="s">
        <v>83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2"/>
      <c r="B15" s="5" t="s">
        <v>97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2"/>
      <c r="B16" s="2"/>
      <c r="C16" s="8" t="s">
        <v>104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2"/>
      <c r="B17" s="2"/>
      <c r="C17" s="8" t="s">
        <v>105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2"/>
      <c r="B19" s="5" t="s">
        <v>106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8" t="s">
        <v>107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8" t="s">
        <v>108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8" t="s">
        <v>109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topLeftCell="E1" workbookViewId="0">
      <selection activeCell="N22" sqref="N22"/>
    </sheetView>
  </sheetViews>
  <sheetFormatPr defaultColWidth="12.6640625" defaultRowHeight="15" customHeight="1" x14ac:dyDescent="0.25"/>
  <cols>
    <col min="1" max="6" width="12.6640625" customWidth="1"/>
    <col min="7" max="10" width="12.6640625" style="10"/>
  </cols>
  <sheetData>
    <row r="1" spans="1:23" ht="15.75" customHeigh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110</v>
      </c>
      <c r="H1" s="3" t="s">
        <v>111</v>
      </c>
      <c r="I1" s="3" t="s">
        <v>112</v>
      </c>
      <c r="J1" s="3" t="s">
        <v>113</v>
      </c>
      <c r="K1" s="5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5.75" customHeight="1" x14ac:dyDescent="0.3">
      <c r="A2" s="2" t="s">
        <v>7</v>
      </c>
      <c r="B2" s="2" t="s">
        <v>8</v>
      </c>
      <c r="C2" s="2" t="s">
        <v>9</v>
      </c>
      <c r="D2" s="4">
        <v>1000</v>
      </c>
      <c r="E2" s="4">
        <v>30</v>
      </c>
      <c r="F2" s="2" t="s">
        <v>11</v>
      </c>
      <c r="G2" s="9" t="str">
        <f>IF(D2&gt;=500,"high price","standard price")</f>
        <v>high price</v>
      </c>
      <c r="H2" s="9" t="str">
        <f>LEFT(A2,2)</f>
        <v>28</v>
      </c>
      <c r="I2" s="9" t="str">
        <f>RIGHT(A2,2)</f>
        <v>US</v>
      </c>
      <c r="J2" s="9" t="str">
        <f>MID(A2, 4, 3)</f>
        <v>JAN</v>
      </c>
      <c r="K2" s="2"/>
      <c r="L2" s="8" t="s">
        <v>16</v>
      </c>
      <c r="M2" s="2"/>
      <c r="N2" s="2"/>
      <c r="O2" s="2"/>
      <c r="P2" s="11">
        <f>SUM(D2:D35)</f>
        <v>10100</v>
      </c>
      <c r="Q2" s="2"/>
      <c r="R2" s="2"/>
      <c r="S2" s="2"/>
      <c r="T2" s="2"/>
      <c r="U2" s="2"/>
      <c r="V2" s="2"/>
      <c r="W2" s="2"/>
    </row>
    <row r="3" spans="1:23" ht="15.75" customHeight="1" x14ac:dyDescent="0.3">
      <c r="A3" s="6" t="s">
        <v>12</v>
      </c>
      <c r="B3" s="6" t="s">
        <v>13</v>
      </c>
      <c r="C3" s="6" t="s">
        <v>14</v>
      </c>
      <c r="D3" s="7">
        <v>80</v>
      </c>
      <c r="E3" s="7">
        <v>15</v>
      </c>
      <c r="F3" s="6" t="s">
        <v>15</v>
      </c>
      <c r="G3" s="9" t="str">
        <f t="shared" ref="G3:G35" si="0">IF(D3&gt;=500,"high price","standard price")</f>
        <v>standard price</v>
      </c>
      <c r="H3" s="9" t="str">
        <f t="shared" ref="H3:H66" si="1">LEFT(A3,2)</f>
        <v>15</v>
      </c>
      <c r="I3" s="9" t="str">
        <f t="shared" ref="I3:I66" si="2">RIGHT(A3,2)</f>
        <v>US</v>
      </c>
      <c r="J3" s="9" t="str">
        <f t="shared" ref="J3:J39" si="3">MID(A3, 4, 3)</f>
        <v>FEB</v>
      </c>
      <c r="K3" s="2"/>
      <c r="L3" s="8" t="s">
        <v>24</v>
      </c>
      <c r="M3" s="2"/>
      <c r="N3" s="2"/>
      <c r="O3" s="2"/>
      <c r="P3" s="11">
        <f>COUNTA(B2:B35)</f>
        <v>34</v>
      </c>
      <c r="Q3" s="2"/>
      <c r="R3" s="2"/>
      <c r="S3" s="2"/>
      <c r="T3" s="2"/>
      <c r="U3" s="2"/>
      <c r="V3" s="2"/>
      <c r="W3" s="2"/>
    </row>
    <row r="4" spans="1:23" ht="15.75" customHeight="1" x14ac:dyDescent="0.3">
      <c r="A4" s="2" t="s">
        <v>17</v>
      </c>
      <c r="B4" s="2" t="s">
        <v>18</v>
      </c>
      <c r="C4" s="2" t="s">
        <v>19</v>
      </c>
      <c r="D4" s="4">
        <v>130</v>
      </c>
      <c r="E4" s="4">
        <v>40</v>
      </c>
      <c r="F4" s="2" t="s">
        <v>20</v>
      </c>
      <c r="G4" s="9" t="str">
        <f t="shared" si="0"/>
        <v>standard price</v>
      </c>
      <c r="H4" s="9" t="str">
        <f t="shared" si="1"/>
        <v>03</v>
      </c>
      <c r="I4" s="9" t="str">
        <f t="shared" si="2"/>
        <v>US</v>
      </c>
      <c r="J4" s="9" t="str">
        <f t="shared" si="3"/>
        <v>MAR</v>
      </c>
      <c r="K4" s="2"/>
      <c r="L4" s="8" t="s">
        <v>29</v>
      </c>
      <c r="M4" s="2"/>
      <c r="N4" s="2"/>
      <c r="O4" s="2"/>
      <c r="P4" s="11">
        <f>AVERAGE(D2:D35)</f>
        <v>297.05882352941177</v>
      </c>
      <c r="Q4" s="2"/>
      <c r="R4" s="2"/>
      <c r="S4" s="2"/>
      <c r="T4" s="2"/>
      <c r="U4" s="2"/>
      <c r="V4" s="2"/>
      <c r="W4" s="2"/>
    </row>
    <row r="5" spans="1:23" ht="15.75" customHeight="1" x14ac:dyDescent="0.25">
      <c r="A5" s="6" t="s">
        <v>21</v>
      </c>
      <c r="B5" s="6" t="s">
        <v>22</v>
      </c>
      <c r="C5" s="6" t="s">
        <v>23</v>
      </c>
      <c r="D5" s="7">
        <v>900</v>
      </c>
      <c r="E5" s="7">
        <v>25</v>
      </c>
      <c r="F5" s="6" t="s">
        <v>11</v>
      </c>
      <c r="G5" s="9" t="str">
        <f t="shared" si="0"/>
        <v>high price</v>
      </c>
      <c r="H5" s="9" t="str">
        <f t="shared" si="1"/>
        <v>11</v>
      </c>
      <c r="I5" s="9" t="str">
        <f t="shared" si="2"/>
        <v>US</v>
      </c>
      <c r="J5" s="9" t="str">
        <f t="shared" si="3"/>
        <v>APR</v>
      </c>
      <c r="K5" s="2"/>
      <c r="L5" s="2"/>
      <c r="M5" s="2"/>
      <c r="N5" s="2"/>
      <c r="O5" s="2"/>
      <c r="P5" s="11"/>
      <c r="Q5" s="2"/>
      <c r="R5" s="2"/>
      <c r="S5" s="2"/>
      <c r="T5" s="2"/>
      <c r="U5" s="2"/>
      <c r="V5" s="2"/>
      <c r="W5" s="2"/>
    </row>
    <row r="6" spans="1:23" ht="15.75" customHeight="1" x14ac:dyDescent="0.3">
      <c r="A6" s="2" t="s">
        <v>25</v>
      </c>
      <c r="B6" s="2" t="s">
        <v>26</v>
      </c>
      <c r="C6" s="2" t="s">
        <v>27</v>
      </c>
      <c r="D6" s="4">
        <v>70</v>
      </c>
      <c r="E6" s="4">
        <v>20</v>
      </c>
      <c r="F6" s="2" t="s">
        <v>28</v>
      </c>
      <c r="G6" s="9" t="str">
        <f t="shared" si="0"/>
        <v>standard price</v>
      </c>
      <c r="H6" s="9" t="str">
        <f t="shared" si="1"/>
        <v>22</v>
      </c>
      <c r="I6" s="9" t="str">
        <f t="shared" si="2"/>
        <v>US</v>
      </c>
      <c r="J6" s="9" t="str">
        <f t="shared" si="3"/>
        <v>MAY</v>
      </c>
      <c r="K6" s="5" t="s">
        <v>38</v>
      </c>
      <c r="L6" s="2"/>
      <c r="M6" s="2"/>
      <c r="N6" s="2"/>
      <c r="O6" s="2"/>
      <c r="P6" s="11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6" t="s">
        <v>30</v>
      </c>
      <c r="B7" s="6" t="s">
        <v>31</v>
      </c>
      <c r="C7" s="6" t="s">
        <v>32</v>
      </c>
      <c r="D7" s="7">
        <v>200</v>
      </c>
      <c r="E7" s="7">
        <v>45</v>
      </c>
      <c r="F7" s="6" t="s">
        <v>11</v>
      </c>
      <c r="G7" s="9" t="str">
        <f t="shared" si="0"/>
        <v>standard price</v>
      </c>
      <c r="H7" s="9" t="str">
        <f t="shared" si="1"/>
        <v>07</v>
      </c>
      <c r="I7" s="9" t="str">
        <f t="shared" si="2"/>
        <v>UK</v>
      </c>
      <c r="J7" s="9" t="str">
        <f t="shared" si="3"/>
        <v>JUN</v>
      </c>
      <c r="K7" s="2"/>
      <c r="L7" s="8" t="s">
        <v>48</v>
      </c>
      <c r="M7" s="2"/>
      <c r="N7" s="2"/>
      <c r="O7" s="2"/>
      <c r="P7" s="11">
        <f>MIN(D2:D35)</f>
        <v>30</v>
      </c>
      <c r="Q7" s="2"/>
      <c r="R7" s="2"/>
      <c r="S7" s="2"/>
      <c r="T7" s="2"/>
      <c r="U7" s="2"/>
      <c r="V7" s="2"/>
      <c r="W7" s="2"/>
    </row>
    <row r="8" spans="1:23" ht="15.75" customHeight="1" x14ac:dyDescent="0.3">
      <c r="A8" s="2" t="s">
        <v>33</v>
      </c>
      <c r="B8" s="2" t="s">
        <v>34</v>
      </c>
      <c r="C8" s="2" t="s">
        <v>35</v>
      </c>
      <c r="D8" s="4">
        <v>30</v>
      </c>
      <c r="E8" s="4">
        <v>5</v>
      </c>
      <c r="F8" s="2" t="s">
        <v>15</v>
      </c>
      <c r="G8" s="9" t="str">
        <f t="shared" si="0"/>
        <v>standard price</v>
      </c>
      <c r="H8" s="9" t="str">
        <f t="shared" si="1"/>
        <v>19</v>
      </c>
      <c r="I8" s="9" t="str">
        <f t="shared" si="2"/>
        <v>UK</v>
      </c>
      <c r="J8" s="9" t="str">
        <f t="shared" si="3"/>
        <v>JUL</v>
      </c>
      <c r="K8" s="2"/>
      <c r="L8" s="8" t="s">
        <v>55</v>
      </c>
      <c r="M8" s="2"/>
      <c r="N8" s="2"/>
      <c r="O8" s="2"/>
      <c r="P8" s="11">
        <f>MAX(D2:D35)</f>
        <v>1000</v>
      </c>
      <c r="Q8" s="2"/>
      <c r="R8" s="2"/>
      <c r="S8" s="2"/>
      <c r="T8" s="2"/>
      <c r="U8" s="2"/>
      <c r="V8" s="2"/>
      <c r="W8" s="2"/>
    </row>
    <row r="9" spans="1:23" ht="15.75" customHeight="1" x14ac:dyDescent="0.25">
      <c r="A9" s="6" t="s">
        <v>36</v>
      </c>
      <c r="B9" s="6" t="s">
        <v>37</v>
      </c>
      <c r="C9" s="6" t="s">
        <v>39</v>
      </c>
      <c r="D9" s="7">
        <v>90</v>
      </c>
      <c r="E9" s="7">
        <v>35</v>
      </c>
      <c r="F9" s="6" t="s">
        <v>20</v>
      </c>
      <c r="G9" s="9" t="str">
        <f t="shared" si="0"/>
        <v>standard price</v>
      </c>
      <c r="H9" s="9" t="str">
        <f t="shared" si="1"/>
        <v>23</v>
      </c>
      <c r="I9" s="9" t="str">
        <f t="shared" si="2"/>
        <v>UK</v>
      </c>
      <c r="J9" s="9" t="str">
        <f t="shared" si="3"/>
        <v>AUG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 x14ac:dyDescent="0.3">
      <c r="A10" s="2" t="s">
        <v>40</v>
      </c>
      <c r="B10" s="2" t="s">
        <v>41</v>
      </c>
      <c r="C10" s="2" t="s">
        <v>42</v>
      </c>
      <c r="D10" s="4">
        <v>500</v>
      </c>
      <c r="E10" s="4">
        <v>50</v>
      </c>
      <c r="F10" s="2" t="s">
        <v>11</v>
      </c>
      <c r="G10" s="9" t="str">
        <f t="shared" si="0"/>
        <v>high price</v>
      </c>
      <c r="H10" s="9" t="str">
        <f t="shared" si="1"/>
        <v>05</v>
      </c>
      <c r="I10" s="9" t="str">
        <f t="shared" si="2"/>
        <v>UK</v>
      </c>
      <c r="J10" s="9" t="str">
        <f t="shared" si="3"/>
        <v>SEP</v>
      </c>
      <c r="K10" s="5" t="s">
        <v>75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6" t="s">
        <v>43</v>
      </c>
      <c r="B11" s="6" t="s">
        <v>44</v>
      </c>
      <c r="C11" s="6" t="s">
        <v>45</v>
      </c>
      <c r="D11" s="7">
        <v>130</v>
      </c>
      <c r="E11" s="7">
        <v>10</v>
      </c>
      <c r="F11" s="6" t="s">
        <v>28</v>
      </c>
      <c r="G11" s="9" t="str">
        <f t="shared" si="0"/>
        <v>standard price</v>
      </c>
      <c r="H11" s="9" t="str">
        <f t="shared" si="1"/>
        <v>14</v>
      </c>
      <c r="I11" s="9" t="str">
        <f t="shared" si="2"/>
        <v>UK</v>
      </c>
      <c r="J11" s="9" t="str">
        <f t="shared" si="3"/>
        <v>OCT</v>
      </c>
      <c r="K11" s="2"/>
      <c r="L11" s="8" t="s">
        <v>83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25">
      <c r="A12" s="2" t="s">
        <v>46</v>
      </c>
      <c r="B12" s="2" t="s">
        <v>8</v>
      </c>
      <c r="C12" s="2" t="s">
        <v>47</v>
      </c>
      <c r="D12" s="4">
        <v>950</v>
      </c>
      <c r="E12" s="4">
        <v>25</v>
      </c>
      <c r="F12" s="2" t="s">
        <v>11</v>
      </c>
      <c r="G12" s="9" t="str">
        <f t="shared" si="0"/>
        <v>high price</v>
      </c>
      <c r="H12" s="9" t="str">
        <f t="shared" si="1"/>
        <v>17</v>
      </c>
      <c r="I12" s="9" t="str">
        <f t="shared" si="2"/>
        <v>IN</v>
      </c>
      <c r="J12" s="9" t="str">
        <f t="shared" si="3"/>
        <v>JUN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3">
      <c r="A13" s="6" t="s">
        <v>49</v>
      </c>
      <c r="B13" s="6" t="s">
        <v>13</v>
      </c>
      <c r="C13" s="6" t="s">
        <v>35</v>
      </c>
      <c r="D13" s="7">
        <v>90</v>
      </c>
      <c r="E13" s="7">
        <v>40</v>
      </c>
      <c r="F13" s="6" t="s">
        <v>15</v>
      </c>
      <c r="G13" s="9" t="str">
        <f t="shared" si="0"/>
        <v>standard price</v>
      </c>
      <c r="H13" s="9" t="str">
        <f t="shared" si="1"/>
        <v>25</v>
      </c>
      <c r="I13" s="9" t="str">
        <f t="shared" si="2"/>
        <v>AU</v>
      </c>
      <c r="J13" s="9" t="str">
        <f t="shared" si="3"/>
        <v>NOV</v>
      </c>
      <c r="K13" s="5" t="s">
        <v>97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3">
      <c r="A14" s="2" t="s">
        <v>50</v>
      </c>
      <c r="B14" s="2" t="s">
        <v>18</v>
      </c>
      <c r="C14" s="2" t="s">
        <v>51</v>
      </c>
      <c r="D14" s="4">
        <v>120</v>
      </c>
      <c r="E14" s="4">
        <v>35</v>
      </c>
      <c r="F14" s="2" t="s">
        <v>20</v>
      </c>
      <c r="G14" s="9" t="str">
        <f t="shared" si="0"/>
        <v>standard price</v>
      </c>
      <c r="H14" s="9" t="str">
        <f t="shared" si="1"/>
        <v>08</v>
      </c>
      <c r="I14" s="9" t="str">
        <f t="shared" si="2"/>
        <v>DE</v>
      </c>
      <c r="J14" s="9" t="str">
        <f t="shared" si="3"/>
        <v>DEC</v>
      </c>
      <c r="K14" s="2"/>
      <c r="L14" s="8" t="s">
        <v>104</v>
      </c>
      <c r="M14" s="2"/>
      <c r="N14" s="2"/>
      <c r="O14" s="2"/>
      <c r="P14" s="2"/>
      <c r="Q14" s="2"/>
      <c r="R14" s="2"/>
      <c r="S14" s="11">
        <f>SUMIF(F2:F35,F18,D2:D35)</f>
        <v>8050</v>
      </c>
      <c r="T14" s="2"/>
      <c r="U14" s="2"/>
      <c r="V14" s="2"/>
      <c r="W14" s="2"/>
    </row>
    <row r="15" spans="1:23" ht="15.75" customHeight="1" x14ac:dyDescent="0.3">
      <c r="A15" s="6" t="s">
        <v>52</v>
      </c>
      <c r="B15" s="6" t="s">
        <v>53</v>
      </c>
      <c r="C15" s="6" t="s">
        <v>54</v>
      </c>
      <c r="D15" s="7">
        <v>150</v>
      </c>
      <c r="E15" s="7">
        <v>15</v>
      </c>
      <c r="F15" s="6" t="s">
        <v>11</v>
      </c>
      <c r="G15" s="9" t="str">
        <f t="shared" si="0"/>
        <v>standard price</v>
      </c>
      <c r="H15" s="9" t="str">
        <f t="shared" si="1"/>
        <v>18</v>
      </c>
      <c r="I15" s="9" t="str">
        <f t="shared" si="2"/>
        <v>CA</v>
      </c>
      <c r="J15" s="9" t="str">
        <f t="shared" si="3"/>
        <v>FEB</v>
      </c>
      <c r="K15" s="2"/>
      <c r="L15" s="8" t="s">
        <v>105</v>
      </c>
      <c r="M15" s="2"/>
      <c r="N15" s="2"/>
      <c r="O15" s="2"/>
      <c r="P15" s="2"/>
      <c r="Q15" s="2"/>
      <c r="R15" s="2"/>
      <c r="S15" s="11">
        <f>COUNTIF(D2:D35, "&lt;100")</f>
        <v>11</v>
      </c>
      <c r="T15" s="2"/>
      <c r="U15" s="2"/>
      <c r="V15" s="2"/>
      <c r="W15" s="2"/>
    </row>
    <row r="16" spans="1:23" ht="15.75" customHeight="1" x14ac:dyDescent="0.25">
      <c r="A16" s="2" t="s">
        <v>56</v>
      </c>
      <c r="B16" s="2" t="s">
        <v>31</v>
      </c>
      <c r="C16" s="2" t="s">
        <v>57</v>
      </c>
      <c r="D16" s="4">
        <v>250</v>
      </c>
      <c r="E16" s="4">
        <v>20</v>
      </c>
      <c r="F16" s="2" t="s">
        <v>11</v>
      </c>
      <c r="G16" s="9" t="str">
        <f t="shared" si="0"/>
        <v>standard price</v>
      </c>
      <c r="H16" s="9" t="str">
        <f t="shared" si="1"/>
        <v>16</v>
      </c>
      <c r="I16" s="9" t="str">
        <f t="shared" si="2"/>
        <v>ES</v>
      </c>
      <c r="J16" s="9" t="str">
        <f t="shared" si="3"/>
        <v>APR</v>
      </c>
      <c r="K16" s="2"/>
      <c r="L16" s="2"/>
      <c r="M16" s="2"/>
      <c r="N16" s="2"/>
      <c r="O16" s="2"/>
      <c r="P16" s="2"/>
      <c r="Q16" s="2"/>
      <c r="R16" s="2"/>
      <c r="T16" s="2"/>
      <c r="V16" s="2"/>
      <c r="W16" s="2"/>
    </row>
    <row r="17" spans="1:23" ht="15.75" customHeight="1" x14ac:dyDescent="0.3">
      <c r="A17" s="6" t="s">
        <v>58</v>
      </c>
      <c r="B17" s="6" t="s">
        <v>59</v>
      </c>
      <c r="C17" s="6" t="s">
        <v>60</v>
      </c>
      <c r="D17" s="7">
        <v>50</v>
      </c>
      <c r="E17" s="7">
        <v>35</v>
      </c>
      <c r="F17" s="6" t="s">
        <v>61</v>
      </c>
      <c r="G17" s="9" t="str">
        <f t="shared" si="0"/>
        <v>standard price</v>
      </c>
      <c r="H17" s="9" t="str">
        <f t="shared" si="1"/>
        <v>21</v>
      </c>
      <c r="I17" s="9" t="str">
        <f t="shared" si="2"/>
        <v>CA</v>
      </c>
      <c r="J17" s="9" t="str">
        <f t="shared" si="3"/>
        <v>AUG</v>
      </c>
      <c r="K17" s="5" t="s">
        <v>106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3">
      <c r="A18" s="2" t="s">
        <v>62</v>
      </c>
      <c r="B18" s="2" t="s">
        <v>53</v>
      </c>
      <c r="C18" s="2" t="s">
        <v>63</v>
      </c>
      <c r="D18" s="4">
        <v>160</v>
      </c>
      <c r="E18" s="4">
        <v>15</v>
      </c>
      <c r="F18" s="2" t="s">
        <v>11</v>
      </c>
      <c r="G18" s="9" t="str">
        <f t="shared" si="0"/>
        <v>standard price</v>
      </c>
      <c r="H18" s="9" t="str">
        <f t="shared" si="1"/>
        <v>20</v>
      </c>
      <c r="I18" s="9" t="str">
        <f t="shared" si="2"/>
        <v>CN</v>
      </c>
      <c r="J18" s="9" t="str">
        <f t="shared" si="3"/>
        <v>AUG</v>
      </c>
      <c r="K18" s="2"/>
      <c r="L18" s="8" t="s">
        <v>107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6" t="s">
        <v>64</v>
      </c>
      <c r="B19" s="6" t="s">
        <v>8</v>
      </c>
      <c r="C19" s="6" t="s">
        <v>65</v>
      </c>
      <c r="D19" s="7">
        <v>980</v>
      </c>
      <c r="E19" s="7">
        <v>10</v>
      </c>
      <c r="F19" s="6" t="s">
        <v>11</v>
      </c>
      <c r="G19" s="9" t="str">
        <f t="shared" si="0"/>
        <v>high price</v>
      </c>
      <c r="H19" s="9" t="str">
        <f t="shared" si="1"/>
        <v>27</v>
      </c>
      <c r="I19" s="9" t="str">
        <f t="shared" si="2"/>
        <v>IT</v>
      </c>
      <c r="J19" s="9" t="str">
        <f t="shared" si="3"/>
        <v>JAN</v>
      </c>
      <c r="K19" s="2"/>
      <c r="L19" s="8" t="s">
        <v>108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2" t="s">
        <v>66</v>
      </c>
      <c r="B20" s="2" t="s">
        <v>67</v>
      </c>
      <c r="C20" s="2" t="s">
        <v>68</v>
      </c>
      <c r="D20" s="4">
        <v>150</v>
      </c>
      <c r="E20" s="4">
        <v>15</v>
      </c>
      <c r="F20" s="2" t="s">
        <v>15</v>
      </c>
      <c r="G20" s="9" t="str">
        <f t="shared" si="0"/>
        <v>standard price</v>
      </c>
      <c r="H20" s="9" t="str">
        <f t="shared" si="1"/>
        <v>01</v>
      </c>
      <c r="I20" s="9" t="str">
        <f t="shared" si="2"/>
        <v>UK</v>
      </c>
      <c r="J20" s="9" t="str">
        <f t="shared" si="3"/>
        <v>MAR</v>
      </c>
      <c r="K20" s="2"/>
      <c r="L20" s="8" t="s">
        <v>109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25">
      <c r="A21" s="6" t="s">
        <v>69</v>
      </c>
      <c r="B21" s="6" t="s">
        <v>70</v>
      </c>
      <c r="C21" s="6" t="s">
        <v>71</v>
      </c>
      <c r="D21" s="7">
        <v>200</v>
      </c>
      <c r="E21" s="7">
        <v>10</v>
      </c>
      <c r="F21" s="6" t="s">
        <v>28</v>
      </c>
      <c r="G21" s="9" t="str">
        <f t="shared" si="0"/>
        <v>standard price</v>
      </c>
      <c r="H21" s="9" t="str">
        <f t="shared" si="1"/>
        <v>14</v>
      </c>
      <c r="I21" s="9" t="str">
        <f t="shared" si="2"/>
        <v>US</v>
      </c>
      <c r="J21" s="9" t="str">
        <f t="shared" si="3"/>
        <v>AUG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25">
      <c r="A22" s="2" t="s">
        <v>72</v>
      </c>
      <c r="B22" s="2" t="s">
        <v>73</v>
      </c>
      <c r="C22" s="2" t="s">
        <v>74</v>
      </c>
      <c r="D22" s="4">
        <v>700</v>
      </c>
      <c r="E22" s="4">
        <v>50</v>
      </c>
      <c r="F22" s="2" t="s">
        <v>11</v>
      </c>
      <c r="G22" s="9" t="str">
        <f t="shared" si="0"/>
        <v>high price</v>
      </c>
      <c r="H22" s="9" t="str">
        <f t="shared" si="1"/>
        <v>14</v>
      </c>
      <c r="I22" s="9" t="str">
        <f t="shared" si="2"/>
        <v>RU</v>
      </c>
      <c r="J22" s="9" t="str">
        <f t="shared" si="3"/>
        <v>MAY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25">
      <c r="A23" s="6" t="s">
        <v>76</v>
      </c>
      <c r="B23" s="6" t="s">
        <v>77</v>
      </c>
      <c r="C23" s="6" t="s">
        <v>78</v>
      </c>
      <c r="D23" s="7">
        <v>80</v>
      </c>
      <c r="E23" s="7">
        <v>20</v>
      </c>
      <c r="F23" s="6" t="s">
        <v>20</v>
      </c>
      <c r="G23" s="9" t="str">
        <f t="shared" si="0"/>
        <v>standard price</v>
      </c>
      <c r="H23" s="9" t="str">
        <f t="shared" si="1"/>
        <v>09</v>
      </c>
      <c r="I23" s="9" t="str">
        <f t="shared" si="2"/>
        <v>CA</v>
      </c>
      <c r="J23" s="9" t="str">
        <f t="shared" si="3"/>
        <v>JAN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25">
      <c r="A24" s="2" t="s">
        <v>79</v>
      </c>
      <c r="B24" s="2" t="s">
        <v>80</v>
      </c>
      <c r="C24" s="2" t="s">
        <v>81</v>
      </c>
      <c r="D24" s="4">
        <v>150</v>
      </c>
      <c r="E24" s="4">
        <v>30</v>
      </c>
      <c r="F24" s="2" t="s">
        <v>11</v>
      </c>
      <c r="G24" s="9" t="str">
        <f t="shared" si="0"/>
        <v>standard price</v>
      </c>
      <c r="H24" s="9" t="str">
        <f t="shared" si="1"/>
        <v>19</v>
      </c>
      <c r="I24" s="9" t="str">
        <f t="shared" si="2"/>
        <v>BR</v>
      </c>
      <c r="J24" s="9" t="str">
        <f t="shared" si="3"/>
        <v>JUL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">
      <c r="A25" s="6" t="s">
        <v>58</v>
      </c>
      <c r="B25" s="6" t="s">
        <v>59</v>
      </c>
      <c r="C25" s="6" t="s">
        <v>60</v>
      </c>
      <c r="D25" s="7">
        <v>50</v>
      </c>
      <c r="E25" s="7">
        <v>35</v>
      </c>
      <c r="F25" s="6" t="s">
        <v>61</v>
      </c>
      <c r="G25" s="9" t="str">
        <f t="shared" si="0"/>
        <v>standard price</v>
      </c>
      <c r="H25" s="9" t="str">
        <f t="shared" si="1"/>
        <v>21</v>
      </c>
      <c r="I25" s="9" t="str">
        <f t="shared" si="2"/>
        <v>CA</v>
      </c>
      <c r="J25" s="9" t="str">
        <f t="shared" si="3"/>
        <v>AUG</v>
      </c>
      <c r="K25" s="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">
      <c r="A26" s="2" t="s">
        <v>82</v>
      </c>
      <c r="B26" s="2" t="s">
        <v>22</v>
      </c>
      <c r="C26" s="2" t="s">
        <v>84</v>
      </c>
      <c r="D26" s="4">
        <v>800</v>
      </c>
      <c r="E26" s="4">
        <v>45</v>
      </c>
      <c r="F26" s="2" t="s">
        <v>11</v>
      </c>
      <c r="G26" s="9" t="str">
        <f t="shared" si="0"/>
        <v>high price</v>
      </c>
      <c r="H26" s="9" t="str">
        <f t="shared" si="1"/>
        <v>29</v>
      </c>
      <c r="I26" s="9" t="str">
        <f t="shared" si="2"/>
        <v>CA</v>
      </c>
      <c r="J26" s="9" t="str">
        <f t="shared" si="3"/>
        <v>SEP</v>
      </c>
      <c r="K26" s="2"/>
      <c r="L26" s="8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3">
      <c r="A27" s="6" t="s">
        <v>85</v>
      </c>
      <c r="B27" s="6" t="s">
        <v>67</v>
      </c>
      <c r="C27" s="6" t="s">
        <v>86</v>
      </c>
      <c r="D27" s="7">
        <v>130</v>
      </c>
      <c r="E27" s="7">
        <v>25</v>
      </c>
      <c r="F27" s="6" t="s">
        <v>15</v>
      </c>
      <c r="G27" s="9" t="str">
        <f t="shared" si="0"/>
        <v>standard price</v>
      </c>
      <c r="H27" s="9" t="str">
        <f t="shared" si="1"/>
        <v>03</v>
      </c>
      <c r="I27" s="9" t="str">
        <f t="shared" si="2"/>
        <v>CA</v>
      </c>
      <c r="J27" s="9" t="str">
        <f t="shared" si="3"/>
        <v>JUN</v>
      </c>
      <c r="K27" s="2"/>
      <c r="L27" s="8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3">
      <c r="A28" s="2" t="s">
        <v>87</v>
      </c>
      <c r="B28" s="2" t="s">
        <v>37</v>
      </c>
      <c r="C28" s="2" t="s">
        <v>88</v>
      </c>
      <c r="D28" s="4">
        <v>400</v>
      </c>
      <c r="E28" s="4">
        <v>40</v>
      </c>
      <c r="F28" s="2" t="s">
        <v>20</v>
      </c>
      <c r="G28" s="9" t="str">
        <f t="shared" si="0"/>
        <v>standard price</v>
      </c>
      <c r="H28" s="9" t="str">
        <f t="shared" si="1"/>
        <v>11</v>
      </c>
      <c r="I28" s="9" t="str">
        <f t="shared" si="2"/>
        <v>CA</v>
      </c>
      <c r="J28" s="9" t="str">
        <f t="shared" si="3"/>
        <v>JUL</v>
      </c>
      <c r="K28" s="2"/>
      <c r="L28" s="8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25">
      <c r="A29" s="6" t="s">
        <v>56</v>
      </c>
      <c r="B29" s="6" t="s">
        <v>31</v>
      </c>
      <c r="C29" s="6" t="s">
        <v>57</v>
      </c>
      <c r="D29" s="7">
        <v>230</v>
      </c>
      <c r="E29" s="7">
        <v>20</v>
      </c>
      <c r="F29" s="6" t="s">
        <v>11</v>
      </c>
      <c r="G29" s="9" t="str">
        <f t="shared" si="0"/>
        <v>standard price</v>
      </c>
      <c r="H29" s="9" t="str">
        <f t="shared" si="1"/>
        <v>16</v>
      </c>
      <c r="I29" s="9" t="str">
        <f t="shared" si="2"/>
        <v>ES</v>
      </c>
      <c r="J29" s="9" t="str">
        <f t="shared" si="3"/>
        <v>APR</v>
      </c>
    </row>
    <row r="30" spans="1:23" ht="15.75" customHeight="1" x14ac:dyDescent="0.25">
      <c r="A30" s="2" t="s">
        <v>89</v>
      </c>
      <c r="B30" s="2" t="s">
        <v>90</v>
      </c>
      <c r="C30" s="2" t="s">
        <v>91</v>
      </c>
      <c r="D30" s="4">
        <v>60</v>
      </c>
      <c r="E30" s="4">
        <v>30</v>
      </c>
      <c r="F30" s="2" t="s">
        <v>15</v>
      </c>
      <c r="G30" s="9" t="str">
        <f t="shared" si="0"/>
        <v>standard price</v>
      </c>
      <c r="H30" s="9" t="str">
        <f t="shared" si="1"/>
        <v>07</v>
      </c>
      <c r="I30" s="9" t="str">
        <f t="shared" si="2"/>
        <v>CA</v>
      </c>
      <c r="J30" s="9" t="str">
        <f t="shared" si="3"/>
        <v>MAR</v>
      </c>
    </row>
    <row r="31" spans="1:23" ht="15.75" customHeight="1" x14ac:dyDescent="0.25">
      <c r="A31" s="6" t="s">
        <v>92</v>
      </c>
      <c r="B31" s="6" t="s">
        <v>93</v>
      </c>
      <c r="C31" s="6" t="s">
        <v>94</v>
      </c>
      <c r="D31" s="7">
        <v>40</v>
      </c>
      <c r="E31" s="7">
        <v>10</v>
      </c>
      <c r="F31" s="6" t="s">
        <v>20</v>
      </c>
      <c r="G31" s="9" t="str">
        <f t="shared" si="0"/>
        <v>standard price</v>
      </c>
      <c r="H31" s="9" t="str">
        <f t="shared" si="1"/>
        <v>13</v>
      </c>
      <c r="I31" s="9" t="str">
        <f t="shared" si="2"/>
        <v>CA</v>
      </c>
      <c r="J31" s="9" t="str">
        <f t="shared" si="3"/>
        <v>APR</v>
      </c>
    </row>
    <row r="32" spans="1:23" ht="15.75" customHeight="1" x14ac:dyDescent="0.25">
      <c r="A32" s="2" t="s">
        <v>95</v>
      </c>
      <c r="B32" s="2" t="s">
        <v>80</v>
      </c>
      <c r="C32" s="2" t="s">
        <v>96</v>
      </c>
      <c r="D32" s="4">
        <v>130</v>
      </c>
      <c r="E32" s="4">
        <v>5</v>
      </c>
      <c r="F32" s="2" t="s">
        <v>11</v>
      </c>
      <c r="G32" s="9" t="str">
        <f t="shared" si="0"/>
        <v>standard price</v>
      </c>
      <c r="H32" s="9" t="str">
        <f t="shared" si="1"/>
        <v>24</v>
      </c>
      <c r="I32" s="9" t="str">
        <f t="shared" si="2"/>
        <v>CA</v>
      </c>
      <c r="J32" s="9" t="str">
        <f t="shared" si="3"/>
        <v>MAY</v>
      </c>
    </row>
    <row r="33" spans="1:10" ht="15.75" customHeight="1" x14ac:dyDescent="0.25">
      <c r="A33" s="6" t="s">
        <v>98</v>
      </c>
      <c r="B33" s="6" t="s">
        <v>99</v>
      </c>
      <c r="C33" s="6" t="s">
        <v>100</v>
      </c>
      <c r="D33" s="7">
        <v>50</v>
      </c>
      <c r="E33" s="7">
        <v>50</v>
      </c>
      <c r="F33" s="6" t="s">
        <v>15</v>
      </c>
      <c r="G33" s="9" t="str">
        <f t="shared" si="0"/>
        <v>standard price</v>
      </c>
      <c r="H33" s="9" t="str">
        <f t="shared" si="1"/>
        <v>02</v>
      </c>
      <c r="I33" s="9" t="str">
        <f t="shared" si="2"/>
        <v>CA</v>
      </c>
      <c r="J33" s="9" t="str">
        <f t="shared" si="3"/>
        <v>DEC</v>
      </c>
    </row>
    <row r="34" spans="1:10" ht="15.75" customHeight="1" x14ac:dyDescent="0.25">
      <c r="A34" s="2" t="s">
        <v>46</v>
      </c>
      <c r="B34" s="2" t="s">
        <v>8</v>
      </c>
      <c r="C34" s="2" t="s">
        <v>47</v>
      </c>
      <c r="D34" s="4">
        <v>950</v>
      </c>
      <c r="E34" s="4">
        <v>25</v>
      </c>
      <c r="F34" s="2" t="s">
        <v>11</v>
      </c>
      <c r="G34" s="9" t="str">
        <f t="shared" si="0"/>
        <v>high price</v>
      </c>
      <c r="H34" s="9" t="str">
        <f t="shared" si="1"/>
        <v>17</v>
      </c>
      <c r="I34" s="9" t="str">
        <f t="shared" si="2"/>
        <v>IN</v>
      </c>
      <c r="J34" s="9" t="str">
        <f t="shared" si="3"/>
        <v>JUN</v>
      </c>
    </row>
    <row r="35" spans="1:10" ht="15.75" customHeight="1" x14ac:dyDescent="0.25">
      <c r="A35" s="6" t="s">
        <v>101</v>
      </c>
      <c r="B35" s="6" t="s">
        <v>102</v>
      </c>
      <c r="C35" s="6" t="s">
        <v>103</v>
      </c>
      <c r="D35" s="7">
        <v>100</v>
      </c>
      <c r="E35" s="7">
        <v>20</v>
      </c>
      <c r="F35" s="6" t="s">
        <v>61</v>
      </c>
      <c r="G35" s="9" t="str">
        <f t="shared" si="0"/>
        <v>standard price</v>
      </c>
      <c r="H35" s="9" t="str">
        <f t="shared" si="1"/>
        <v>09</v>
      </c>
      <c r="I35" s="9" t="str">
        <f t="shared" si="2"/>
        <v>FR</v>
      </c>
      <c r="J35" s="9" t="str">
        <f t="shared" si="3"/>
        <v>JUL</v>
      </c>
    </row>
    <row r="36" spans="1:10" ht="15.75" customHeight="1" x14ac:dyDescent="0.25">
      <c r="H36" s="10" t="str">
        <f t="shared" si="1"/>
        <v/>
      </c>
      <c r="I36" s="10" t="str">
        <f t="shared" si="2"/>
        <v/>
      </c>
      <c r="J36" s="10" t="str">
        <f t="shared" si="3"/>
        <v/>
      </c>
    </row>
    <row r="37" spans="1:10" ht="15.75" customHeight="1" x14ac:dyDescent="0.25">
      <c r="H37" s="10" t="str">
        <f t="shared" si="1"/>
        <v/>
      </c>
      <c r="I37" s="10" t="str">
        <f t="shared" si="2"/>
        <v/>
      </c>
      <c r="J37" s="10" t="str">
        <f t="shared" si="3"/>
        <v/>
      </c>
    </row>
    <row r="38" spans="1:10" ht="15.75" customHeight="1" x14ac:dyDescent="0.25">
      <c r="H38" s="10" t="str">
        <f t="shared" si="1"/>
        <v/>
      </c>
      <c r="I38" s="10" t="str">
        <f t="shared" si="2"/>
        <v/>
      </c>
      <c r="J38" s="10" t="str">
        <f t="shared" si="3"/>
        <v/>
      </c>
    </row>
    <row r="39" spans="1:10" ht="15.75" customHeight="1" x14ac:dyDescent="0.25">
      <c r="H39" s="10" t="str">
        <f t="shared" si="1"/>
        <v/>
      </c>
      <c r="I39" s="10" t="str">
        <f t="shared" si="2"/>
        <v/>
      </c>
      <c r="J39" s="10" t="str">
        <f t="shared" si="3"/>
        <v/>
      </c>
    </row>
    <row r="40" spans="1:10" ht="15.75" customHeight="1" x14ac:dyDescent="0.25">
      <c r="H40" s="10" t="str">
        <f t="shared" si="1"/>
        <v/>
      </c>
      <c r="I40" s="10" t="str">
        <f t="shared" si="2"/>
        <v/>
      </c>
    </row>
    <row r="41" spans="1:10" ht="15.75" customHeight="1" x14ac:dyDescent="0.25">
      <c r="H41" s="10" t="str">
        <f t="shared" si="1"/>
        <v/>
      </c>
      <c r="I41" s="10" t="str">
        <f t="shared" si="2"/>
        <v/>
      </c>
    </row>
    <row r="42" spans="1:10" ht="15.75" customHeight="1" x14ac:dyDescent="0.25">
      <c r="H42" s="10" t="str">
        <f t="shared" si="1"/>
        <v/>
      </c>
      <c r="I42" s="10" t="str">
        <f t="shared" si="2"/>
        <v/>
      </c>
    </row>
    <row r="43" spans="1:10" ht="15.75" customHeight="1" x14ac:dyDescent="0.25">
      <c r="H43" s="10" t="str">
        <f t="shared" si="1"/>
        <v/>
      </c>
      <c r="I43" s="10" t="str">
        <f t="shared" si="2"/>
        <v/>
      </c>
    </row>
    <row r="44" spans="1:10" ht="15.75" customHeight="1" x14ac:dyDescent="0.25">
      <c r="H44" s="10" t="str">
        <f t="shared" si="1"/>
        <v/>
      </c>
      <c r="I44" s="10" t="str">
        <f t="shared" si="2"/>
        <v/>
      </c>
    </row>
    <row r="45" spans="1:10" ht="15.75" customHeight="1" x14ac:dyDescent="0.25">
      <c r="H45" s="10" t="str">
        <f t="shared" si="1"/>
        <v/>
      </c>
      <c r="I45" s="10" t="str">
        <f t="shared" si="2"/>
        <v/>
      </c>
    </row>
    <row r="46" spans="1:10" ht="15.75" customHeight="1" x14ac:dyDescent="0.25">
      <c r="H46" s="10" t="str">
        <f t="shared" si="1"/>
        <v/>
      </c>
      <c r="I46" s="10" t="str">
        <f t="shared" si="2"/>
        <v/>
      </c>
    </row>
    <row r="47" spans="1:10" ht="15.75" customHeight="1" x14ac:dyDescent="0.25">
      <c r="H47" s="10" t="str">
        <f t="shared" si="1"/>
        <v/>
      </c>
      <c r="I47" s="10" t="str">
        <f t="shared" si="2"/>
        <v/>
      </c>
    </row>
    <row r="48" spans="1:10" ht="15.75" customHeight="1" x14ac:dyDescent="0.25">
      <c r="H48" s="10" t="str">
        <f t="shared" si="1"/>
        <v/>
      </c>
      <c r="I48" s="10" t="str">
        <f t="shared" si="2"/>
        <v/>
      </c>
    </row>
    <row r="49" spans="8:9" ht="15.75" customHeight="1" x14ac:dyDescent="0.25">
      <c r="H49" s="10" t="str">
        <f t="shared" si="1"/>
        <v/>
      </c>
      <c r="I49" s="10" t="str">
        <f t="shared" si="2"/>
        <v/>
      </c>
    </row>
    <row r="50" spans="8:9" ht="15.75" customHeight="1" x14ac:dyDescent="0.25">
      <c r="H50" s="10" t="str">
        <f t="shared" si="1"/>
        <v/>
      </c>
      <c r="I50" s="10" t="str">
        <f t="shared" si="2"/>
        <v/>
      </c>
    </row>
    <row r="51" spans="8:9" ht="15.75" customHeight="1" x14ac:dyDescent="0.25">
      <c r="H51" s="10" t="str">
        <f t="shared" si="1"/>
        <v/>
      </c>
      <c r="I51" s="10" t="str">
        <f t="shared" si="2"/>
        <v/>
      </c>
    </row>
    <row r="52" spans="8:9" ht="15.75" customHeight="1" x14ac:dyDescent="0.25">
      <c r="H52" s="10" t="str">
        <f t="shared" si="1"/>
        <v/>
      </c>
      <c r="I52" s="10" t="str">
        <f t="shared" si="2"/>
        <v/>
      </c>
    </row>
    <row r="53" spans="8:9" ht="15.75" customHeight="1" x14ac:dyDescent="0.25">
      <c r="H53" s="10" t="str">
        <f t="shared" si="1"/>
        <v/>
      </c>
      <c r="I53" s="10" t="str">
        <f t="shared" si="2"/>
        <v/>
      </c>
    </row>
    <row r="54" spans="8:9" ht="15.75" customHeight="1" x14ac:dyDescent="0.25">
      <c r="H54" s="10" t="str">
        <f t="shared" si="1"/>
        <v/>
      </c>
      <c r="I54" s="10" t="str">
        <f t="shared" si="2"/>
        <v/>
      </c>
    </row>
    <row r="55" spans="8:9" ht="15.75" customHeight="1" x14ac:dyDescent="0.25">
      <c r="H55" s="10" t="str">
        <f t="shared" si="1"/>
        <v/>
      </c>
      <c r="I55" s="10" t="str">
        <f t="shared" si="2"/>
        <v/>
      </c>
    </row>
    <row r="56" spans="8:9" ht="15.75" customHeight="1" x14ac:dyDescent="0.25">
      <c r="H56" s="10" t="str">
        <f t="shared" si="1"/>
        <v/>
      </c>
      <c r="I56" s="10" t="str">
        <f t="shared" si="2"/>
        <v/>
      </c>
    </row>
    <row r="57" spans="8:9" ht="15.75" customHeight="1" x14ac:dyDescent="0.25">
      <c r="H57" s="10" t="str">
        <f t="shared" si="1"/>
        <v/>
      </c>
      <c r="I57" s="10" t="str">
        <f t="shared" si="2"/>
        <v/>
      </c>
    </row>
    <row r="58" spans="8:9" ht="15.75" customHeight="1" x14ac:dyDescent="0.25">
      <c r="H58" s="10" t="str">
        <f t="shared" si="1"/>
        <v/>
      </c>
      <c r="I58" s="10" t="str">
        <f t="shared" si="2"/>
        <v/>
      </c>
    </row>
    <row r="59" spans="8:9" ht="15.75" customHeight="1" x14ac:dyDescent="0.25">
      <c r="H59" s="10" t="str">
        <f t="shared" si="1"/>
        <v/>
      </c>
      <c r="I59" s="10" t="str">
        <f t="shared" si="2"/>
        <v/>
      </c>
    </row>
    <row r="60" spans="8:9" ht="15.75" customHeight="1" x14ac:dyDescent="0.25">
      <c r="H60" s="10" t="str">
        <f t="shared" si="1"/>
        <v/>
      </c>
      <c r="I60" s="10" t="str">
        <f t="shared" si="2"/>
        <v/>
      </c>
    </row>
    <row r="61" spans="8:9" ht="15.75" customHeight="1" x14ac:dyDescent="0.25">
      <c r="H61" s="10" t="str">
        <f t="shared" si="1"/>
        <v/>
      </c>
      <c r="I61" s="10" t="str">
        <f t="shared" si="2"/>
        <v/>
      </c>
    </row>
    <row r="62" spans="8:9" ht="15.75" customHeight="1" x14ac:dyDescent="0.25">
      <c r="H62" s="10" t="str">
        <f t="shared" si="1"/>
        <v/>
      </c>
      <c r="I62" s="10" t="str">
        <f t="shared" si="2"/>
        <v/>
      </c>
    </row>
    <row r="63" spans="8:9" ht="15.75" customHeight="1" x14ac:dyDescent="0.25">
      <c r="H63" s="10" t="str">
        <f t="shared" si="1"/>
        <v/>
      </c>
      <c r="I63" s="10" t="str">
        <f t="shared" si="2"/>
        <v/>
      </c>
    </row>
    <row r="64" spans="8:9" ht="15.75" customHeight="1" x14ac:dyDescent="0.25">
      <c r="H64" s="10" t="str">
        <f t="shared" si="1"/>
        <v/>
      </c>
      <c r="I64" s="10" t="str">
        <f t="shared" si="2"/>
        <v/>
      </c>
    </row>
    <row r="65" spans="8:9" ht="15.75" customHeight="1" x14ac:dyDescent="0.25">
      <c r="H65" s="10" t="str">
        <f t="shared" si="1"/>
        <v/>
      </c>
      <c r="I65" s="10" t="str">
        <f t="shared" si="2"/>
        <v/>
      </c>
    </row>
    <row r="66" spans="8:9" ht="15.75" customHeight="1" x14ac:dyDescent="0.25">
      <c r="H66" s="10" t="str">
        <f t="shared" si="1"/>
        <v/>
      </c>
      <c r="I66" s="10" t="str">
        <f t="shared" si="2"/>
        <v/>
      </c>
    </row>
    <row r="67" spans="8:9" ht="15.75" customHeight="1" x14ac:dyDescent="0.25">
      <c r="H67" s="10" t="str">
        <f t="shared" ref="H67:H98" si="4">LEFT(A67,2)</f>
        <v/>
      </c>
      <c r="I67" s="10" t="str">
        <f t="shared" ref="I67:I90" si="5">RIGHT(A67,2)</f>
        <v/>
      </c>
    </row>
    <row r="68" spans="8:9" ht="15.75" customHeight="1" x14ac:dyDescent="0.25">
      <c r="H68" s="10" t="str">
        <f t="shared" si="4"/>
        <v/>
      </c>
      <c r="I68" s="10" t="str">
        <f t="shared" si="5"/>
        <v/>
      </c>
    </row>
    <row r="69" spans="8:9" ht="15.75" customHeight="1" x14ac:dyDescent="0.25">
      <c r="H69" s="10" t="str">
        <f t="shared" si="4"/>
        <v/>
      </c>
      <c r="I69" s="10" t="str">
        <f t="shared" si="5"/>
        <v/>
      </c>
    </row>
    <row r="70" spans="8:9" ht="15.75" customHeight="1" x14ac:dyDescent="0.25">
      <c r="H70" s="10" t="str">
        <f t="shared" si="4"/>
        <v/>
      </c>
      <c r="I70" s="10" t="str">
        <f t="shared" si="5"/>
        <v/>
      </c>
    </row>
    <row r="71" spans="8:9" ht="15.75" customHeight="1" x14ac:dyDescent="0.25">
      <c r="H71" s="10" t="str">
        <f t="shared" si="4"/>
        <v/>
      </c>
      <c r="I71" s="10" t="str">
        <f t="shared" si="5"/>
        <v/>
      </c>
    </row>
    <row r="72" spans="8:9" ht="15.75" customHeight="1" x14ac:dyDescent="0.25">
      <c r="H72" s="10" t="str">
        <f t="shared" si="4"/>
        <v/>
      </c>
      <c r="I72" s="10" t="str">
        <f t="shared" si="5"/>
        <v/>
      </c>
    </row>
    <row r="73" spans="8:9" ht="15.75" customHeight="1" x14ac:dyDescent="0.25">
      <c r="H73" s="10" t="str">
        <f t="shared" si="4"/>
        <v/>
      </c>
      <c r="I73" s="10" t="str">
        <f t="shared" si="5"/>
        <v/>
      </c>
    </row>
    <row r="74" spans="8:9" ht="15.75" customHeight="1" x14ac:dyDescent="0.25">
      <c r="H74" s="10" t="str">
        <f t="shared" si="4"/>
        <v/>
      </c>
      <c r="I74" s="10" t="str">
        <f t="shared" si="5"/>
        <v/>
      </c>
    </row>
    <row r="75" spans="8:9" ht="15.75" customHeight="1" x14ac:dyDescent="0.25">
      <c r="H75" s="10" t="str">
        <f t="shared" si="4"/>
        <v/>
      </c>
      <c r="I75" s="10" t="str">
        <f t="shared" si="5"/>
        <v/>
      </c>
    </row>
    <row r="76" spans="8:9" ht="15.75" customHeight="1" x14ac:dyDescent="0.25">
      <c r="H76" s="10" t="str">
        <f t="shared" si="4"/>
        <v/>
      </c>
      <c r="I76" s="10" t="str">
        <f t="shared" si="5"/>
        <v/>
      </c>
    </row>
    <row r="77" spans="8:9" ht="15.75" customHeight="1" x14ac:dyDescent="0.25">
      <c r="H77" s="10" t="str">
        <f t="shared" si="4"/>
        <v/>
      </c>
      <c r="I77" s="10" t="str">
        <f t="shared" si="5"/>
        <v/>
      </c>
    </row>
    <row r="78" spans="8:9" ht="15.75" customHeight="1" x14ac:dyDescent="0.25">
      <c r="H78" s="10" t="str">
        <f t="shared" si="4"/>
        <v/>
      </c>
      <c r="I78" s="10" t="str">
        <f t="shared" si="5"/>
        <v/>
      </c>
    </row>
    <row r="79" spans="8:9" ht="15.75" customHeight="1" x14ac:dyDescent="0.25">
      <c r="H79" s="10" t="str">
        <f t="shared" si="4"/>
        <v/>
      </c>
      <c r="I79" s="10" t="str">
        <f t="shared" si="5"/>
        <v/>
      </c>
    </row>
    <row r="80" spans="8:9" ht="15.75" customHeight="1" x14ac:dyDescent="0.25">
      <c r="H80" s="10" t="str">
        <f t="shared" si="4"/>
        <v/>
      </c>
      <c r="I80" s="10" t="str">
        <f t="shared" si="5"/>
        <v/>
      </c>
    </row>
    <row r="81" spans="8:9" ht="15.75" customHeight="1" x14ac:dyDescent="0.25">
      <c r="H81" s="10" t="str">
        <f t="shared" si="4"/>
        <v/>
      </c>
      <c r="I81" s="10" t="str">
        <f t="shared" si="5"/>
        <v/>
      </c>
    </row>
    <row r="82" spans="8:9" ht="15.75" customHeight="1" x14ac:dyDescent="0.25">
      <c r="H82" s="10" t="str">
        <f t="shared" si="4"/>
        <v/>
      </c>
      <c r="I82" s="10" t="str">
        <f t="shared" si="5"/>
        <v/>
      </c>
    </row>
    <row r="83" spans="8:9" ht="15.75" customHeight="1" x14ac:dyDescent="0.25">
      <c r="H83" s="10" t="str">
        <f t="shared" si="4"/>
        <v/>
      </c>
      <c r="I83" s="10" t="str">
        <f t="shared" si="5"/>
        <v/>
      </c>
    </row>
    <row r="84" spans="8:9" ht="15.75" customHeight="1" x14ac:dyDescent="0.25">
      <c r="H84" s="10" t="str">
        <f t="shared" si="4"/>
        <v/>
      </c>
      <c r="I84" s="10" t="str">
        <f t="shared" si="5"/>
        <v/>
      </c>
    </row>
    <row r="85" spans="8:9" ht="15.75" customHeight="1" x14ac:dyDescent="0.25">
      <c r="H85" s="10" t="str">
        <f t="shared" si="4"/>
        <v/>
      </c>
      <c r="I85" s="10" t="str">
        <f t="shared" si="5"/>
        <v/>
      </c>
    </row>
    <row r="86" spans="8:9" ht="15.75" customHeight="1" x14ac:dyDescent="0.25">
      <c r="H86" s="10" t="str">
        <f t="shared" si="4"/>
        <v/>
      </c>
      <c r="I86" s="10" t="str">
        <f t="shared" si="5"/>
        <v/>
      </c>
    </row>
    <row r="87" spans="8:9" ht="15.75" customHeight="1" x14ac:dyDescent="0.25">
      <c r="H87" s="10" t="str">
        <f t="shared" si="4"/>
        <v/>
      </c>
      <c r="I87" s="10" t="str">
        <f t="shared" si="5"/>
        <v/>
      </c>
    </row>
    <row r="88" spans="8:9" ht="15.75" customHeight="1" x14ac:dyDescent="0.25">
      <c r="H88" s="10" t="str">
        <f t="shared" si="4"/>
        <v/>
      </c>
      <c r="I88" s="10" t="str">
        <f t="shared" si="5"/>
        <v/>
      </c>
    </row>
    <row r="89" spans="8:9" ht="15.75" customHeight="1" x14ac:dyDescent="0.25">
      <c r="H89" s="10" t="str">
        <f t="shared" si="4"/>
        <v/>
      </c>
      <c r="I89" s="10" t="str">
        <f t="shared" si="5"/>
        <v/>
      </c>
    </row>
    <row r="90" spans="8:9" ht="15.75" customHeight="1" x14ac:dyDescent="0.25">
      <c r="H90" s="10" t="str">
        <f t="shared" si="4"/>
        <v/>
      </c>
      <c r="I90" s="10" t="str">
        <f t="shared" si="5"/>
        <v/>
      </c>
    </row>
    <row r="91" spans="8:9" ht="15.75" customHeight="1" x14ac:dyDescent="0.25">
      <c r="H91" s="10" t="str">
        <f t="shared" si="4"/>
        <v/>
      </c>
    </row>
    <row r="92" spans="8:9" ht="15.75" customHeight="1" x14ac:dyDescent="0.25">
      <c r="H92" s="10" t="str">
        <f t="shared" si="4"/>
        <v/>
      </c>
    </row>
    <row r="93" spans="8:9" ht="15.75" customHeight="1" x14ac:dyDescent="0.25">
      <c r="H93" s="10" t="str">
        <f t="shared" si="4"/>
        <v/>
      </c>
    </row>
    <row r="94" spans="8:9" ht="15.75" customHeight="1" x14ac:dyDescent="0.25">
      <c r="H94" s="10" t="str">
        <f t="shared" si="4"/>
        <v/>
      </c>
    </row>
    <row r="95" spans="8:9" ht="15.75" customHeight="1" x14ac:dyDescent="0.25">
      <c r="H95" s="10" t="str">
        <f t="shared" si="4"/>
        <v/>
      </c>
    </row>
    <row r="96" spans="8:9" ht="15.75" customHeight="1" x14ac:dyDescent="0.25">
      <c r="H96" s="10" t="str">
        <f t="shared" si="4"/>
        <v/>
      </c>
    </row>
    <row r="97" spans="8:8" ht="15.75" customHeight="1" x14ac:dyDescent="0.25">
      <c r="H97" s="10" t="str">
        <f t="shared" si="4"/>
        <v/>
      </c>
    </row>
    <row r="98" spans="8:8" ht="15.75" customHeight="1" x14ac:dyDescent="0.25">
      <c r="H98" s="10" t="str">
        <f t="shared" si="4"/>
        <v/>
      </c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Kumar Masanipalli</dc:creator>
  <cp:lastModifiedBy>sushma kairika</cp:lastModifiedBy>
  <dcterms:created xsi:type="dcterms:W3CDTF">2026-09-09T18:55:33Z</dcterms:created>
  <dcterms:modified xsi:type="dcterms:W3CDTF">2026-09-09T18:58:37Z</dcterms:modified>
</cp:coreProperties>
</file>